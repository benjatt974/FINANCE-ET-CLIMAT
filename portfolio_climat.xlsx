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xel/Documents/Travail_ESILV/2025/PI2/"/>
    </mc:Choice>
  </mc:AlternateContent>
  <xr:revisionPtr revIDLastSave="0" documentId="13_ncr:1_{1D65B9DE-6405-9E47-A8F3-F0FA450338EF}" xr6:coauthVersionLast="47" xr6:coauthVersionMax="47" xr10:uidLastSave="{00000000-0000-0000-0000-000000000000}"/>
  <bookViews>
    <workbookView xWindow="0" yWindow="620" windowWidth="28800" windowHeight="17380" activeTab="4" xr2:uid="{00000000-000D-0000-FFFF-FFFF00000000}"/>
  </bookViews>
  <sheets>
    <sheet name="Portfolio" sheetId="1" r:id="rId1"/>
    <sheet name="Sectors" sheetId="2" r:id="rId2"/>
    <sheet name="Scenarios" sheetId="3" r:id="rId3"/>
    <sheet name="Countries" sheetId="4" r:id="rId4"/>
    <sheet name="Scenario_Uplifts" sheetId="5" r:id="rId5"/>
  </sheets>
  <definedNames>
    <definedName name="_xlnm._FilterDatabase" localSheetId="3" hidden="1">Countries!$A$1:$D$8</definedName>
    <definedName name="_xlnm._FilterDatabase" localSheetId="0" hidden="1">Portfolio!$A$1:$H$36</definedName>
    <definedName name="_xlnm._FilterDatabase" localSheetId="4" hidden="1">Scenario_Uplifts!$A$1:$H$8</definedName>
    <definedName name="_xlnm._FilterDatabase" localSheetId="2" hidden="1">Scenarios!$A$1:$E$4</definedName>
    <definedName name="_xlnm._FilterDatabase" localSheetId="1" hidden="1">Sectors!$A$1:$I$8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</calcChain>
</file>

<file path=xl/sharedStrings.xml><?xml version="1.0" encoding="utf-8"?>
<sst xmlns="http://schemas.openxmlformats.org/spreadsheetml/2006/main" count="252" uniqueCount="111">
  <si>
    <t>loan_id</t>
  </si>
  <si>
    <t>sector</t>
  </si>
  <si>
    <t>country</t>
  </si>
  <si>
    <t>region</t>
  </si>
  <si>
    <t>EAD_EUR</t>
  </si>
  <si>
    <t>PD_base</t>
  </si>
  <si>
    <t>LGD</t>
  </si>
  <si>
    <t>maturity_years</t>
  </si>
  <si>
    <t>L013</t>
  </si>
  <si>
    <t>Construction</t>
  </si>
  <si>
    <t>France</t>
  </si>
  <si>
    <t>EU West</t>
  </si>
  <si>
    <t>L002</t>
  </si>
  <si>
    <t>L019</t>
  </si>
  <si>
    <t>Utilities</t>
  </si>
  <si>
    <t>Germany</t>
  </si>
  <si>
    <t>L008</t>
  </si>
  <si>
    <t>Spain</t>
  </si>
  <si>
    <t>EU South</t>
  </si>
  <si>
    <t>L033</t>
  </si>
  <si>
    <t>L021</t>
  </si>
  <si>
    <t>Manufacturing</t>
  </si>
  <si>
    <t>L007</t>
  </si>
  <si>
    <t>Transport</t>
  </si>
  <si>
    <t>L014</t>
  </si>
  <si>
    <t>Real Estate</t>
  </si>
  <si>
    <t>Romania</t>
  </si>
  <si>
    <t>EU East</t>
  </si>
  <si>
    <t>L012</t>
  </si>
  <si>
    <t>Energy</t>
  </si>
  <si>
    <t>L022</t>
  </si>
  <si>
    <t>Italy</t>
  </si>
  <si>
    <t>L034</t>
  </si>
  <si>
    <t>L026</t>
  </si>
  <si>
    <t>L020</t>
  </si>
  <si>
    <t>L001</t>
  </si>
  <si>
    <t>L018</t>
  </si>
  <si>
    <t>L006</t>
  </si>
  <si>
    <t>Netherlands</t>
  </si>
  <si>
    <t>L032</t>
  </si>
  <si>
    <t>L009</t>
  </si>
  <si>
    <t>L011</t>
  </si>
  <si>
    <t>L029</t>
  </si>
  <si>
    <t>L005</t>
  </si>
  <si>
    <t>L003</t>
  </si>
  <si>
    <t>L035</t>
  </si>
  <si>
    <t>L025</t>
  </si>
  <si>
    <t>Agriculture</t>
  </si>
  <si>
    <t>L027</t>
  </si>
  <si>
    <t>Poland</t>
  </si>
  <si>
    <t>L015</t>
  </si>
  <si>
    <t>L031</t>
  </si>
  <si>
    <t>L028</t>
  </si>
  <si>
    <t>L030</t>
  </si>
  <si>
    <t>L004</t>
  </si>
  <si>
    <t>L016</t>
  </si>
  <si>
    <t>L024</t>
  </si>
  <si>
    <t>L023</t>
  </si>
  <si>
    <t>L017</t>
  </si>
  <si>
    <t>L010</t>
  </si>
  <si>
    <t>base_PD</t>
  </si>
  <si>
    <t>LGD_min</t>
  </si>
  <si>
    <t>LGD_max</t>
  </si>
  <si>
    <t>maturity_min</t>
  </si>
  <si>
    <t>maturity_max</t>
  </si>
  <si>
    <t>transition_sensitivity</t>
  </si>
  <si>
    <t>physical_sensitivity</t>
  </si>
  <si>
    <t>carbon_intensity</t>
  </si>
  <si>
    <t>Medium</t>
  </si>
  <si>
    <t>Mixed</t>
  </si>
  <si>
    <t>Physical</t>
  </si>
  <si>
    <t>High</t>
  </si>
  <si>
    <t>Very High</t>
  </si>
  <si>
    <t>Low</t>
  </si>
  <si>
    <t>scenario</t>
  </si>
  <si>
    <t>label</t>
  </si>
  <si>
    <t>temperature_path</t>
  </si>
  <si>
    <t>short_description</t>
  </si>
  <si>
    <t>pd_uplift_multiplier_note</t>
  </si>
  <si>
    <t>Optimiste</t>
  </si>
  <si>
    <t>Orderly transition</t>
  </si>
  <si>
    <t>+2°C</t>
  </si>
  <si>
    <t>Transition précoce et progressive ; chocs limités.</t>
  </si>
  <si>
    <t>uplifts PD faibles, surtout secteurs carbonés</t>
  </si>
  <si>
    <t>Neutre</t>
  </si>
  <si>
    <t>Disorderly transition</t>
  </si>
  <si>
    <t>~+2.5°C</t>
  </si>
  <si>
    <t>Transition tardive puis brutale ; chocs plus élevés.</t>
  </si>
  <si>
    <t>uplifts PD moyens à forts selon secteurs</t>
  </si>
  <si>
    <t>Pessimiste</t>
  </si>
  <si>
    <t>Hot House World</t>
  </si>
  <si>
    <t>+4°C</t>
  </si>
  <si>
    <t>Inaction climatique ; risques physiques très élevés.</t>
  </si>
  <si>
    <t>uplifts PD forts, + hausse LGD zones/secteurs exposés</t>
  </si>
  <si>
    <t>country_risk_factor</t>
  </si>
  <si>
    <t>comment</t>
  </si>
  <si>
    <t>Facteur simplifié (projet académique) : reflète risque macro / vulnérabilité</t>
  </si>
  <si>
    <t>pd_uplift_Optimiste</t>
  </si>
  <si>
    <t>pd_uplift_Neutre</t>
  </si>
  <si>
    <t>pd_uplift_Pessimiste</t>
  </si>
  <si>
    <t>lgd_uplift_Optimiste</t>
  </si>
  <si>
    <t>lgd_uplift_Neutre</t>
  </si>
  <si>
    <t>lgd_uplift_Pessimiste</t>
  </si>
  <si>
    <t>notes</t>
  </si>
  <si>
    <t>Mix transition/physique via chaîne valeur</t>
  </si>
  <si>
    <t>Physique via collatéraux (inondation/feu)</t>
  </si>
  <si>
    <t>Physique (chantiers) + coûts normes</t>
  </si>
  <si>
    <t>Transition (carburants/CO2) + coûts</t>
  </si>
  <si>
    <t>Transition dominant (carbone, régulation)</t>
  </si>
  <si>
    <t>Régulation + capex transition</t>
  </si>
  <si>
    <t>Physique dominant (sécheresse, chaleur)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</si>
</sst>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2" formatCode="0.00"/>
    </dxf>
    <dxf>
      <numFmt numFmtId="14" formatCode="0.00%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6DCF0-648D-DE43-A9DE-D1EC3556A6B5}" name="Tableau1" displayName="Tableau1" ref="A1:H36" totalsRowShown="0" headerRowDxfId="15">
  <autoFilter ref="A1:H36" xr:uid="{00000000-0009-0000-0000-000000000000}"/>
  <tableColumns count="8">
    <tableColumn id="1" xr3:uid="{8BC7F4C7-389B-4D4A-B1AA-16CBCC0E40F3}" name="loan_id"/>
    <tableColumn id="2" xr3:uid="{48CA4841-FDFA-B24D-BDC0-A5F3472C0FFD}" name="sector"/>
    <tableColumn id="3" xr3:uid="{9A6BE627-FF43-214D-B5DA-9EED4263D1FA}" name="country"/>
    <tableColumn id="4" xr3:uid="{8EDE3B24-56DB-D74A-93B4-DEE8D29059F1}" name="region"/>
    <tableColumn id="5" xr3:uid="{E5770575-DA11-5442-A3F4-B14B0140CBEA}" name="EAD_EUR" dataDxfId="19"/>
    <tableColumn id="6" xr3:uid="{D5E176C7-CF44-104A-B184-C0842DF89CCB}" name="PD_base" dataDxfId="18"/>
    <tableColumn id="7" xr3:uid="{76970DA0-05D7-F646-9D02-876F3AF876BD}" name="LGD" dataDxfId="17"/>
    <tableColumn id="8" xr3:uid="{0D3A6E36-82B3-1F44-A540-4EF618DB6EF2}" name="maturity_years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16D068-7B5E-D049-9314-E74EE6557E66}" name="Tableau2" displayName="Tableau2" ref="A1:I8" totalsRowShown="0" headerRowDxfId="11">
  <autoFilter ref="A1:I8" xr:uid="{00000000-0009-0000-0000-000001000000}"/>
  <tableColumns count="9">
    <tableColumn id="1" xr3:uid="{07EBD01C-9FBE-B24D-AE38-99A734D0F59F}" name="sector"/>
    <tableColumn id="2" xr3:uid="{5C3F3E56-ED03-F942-8EDB-A4BC798AAE22}" name="base_PD" dataDxfId="14"/>
    <tableColumn id="3" xr3:uid="{31545E8C-104C-AC4B-8607-471AB6EB6271}" name="LGD_min" dataDxfId="13"/>
    <tableColumn id="4" xr3:uid="{5022DE86-BAD2-A147-BFAE-B505778652CE}" name="LGD_max" dataDxfId="12"/>
    <tableColumn id="5" xr3:uid="{F1B3202A-4E36-5D4A-850F-8CE89DE2A8B6}" name="maturity_min"/>
    <tableColumn id="6" xr3:uid="{A427C34F-DF4A-6D44-AD3C-49F6DC4F94E0}" name="maturity_max"/>
    <tableColumn id="7" xr3:uid="{46414D5A-5879-AB49-A75C-FD4FCB707296}" name="transition_sensitivity"/>
    <tableColumn id="8" xr3:uid="{7C0BDC96-E97B-FA45-8A5E-300FDD176B4A}" name="physical_sensitivity"/>
    <tableColumn id="9" xr3:uid="{64B298B8-BC10-FA48-A937-4AAC72B9B8B7}" name="carbon_intens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F2D23-B2E9-BD43-B2E4-2705F353E65B}" name="Tableau3" displayName="Tableau3" ref="A1:E4" totalsRowShown="0" headerRowDxfId="10">
  <autoFilter ref="A1:E4" xr:uid="{00000000-0009-0000-0000-000002000000}"/>
  <tableColumns count="5">
    <tableColumn id="1" xr3:uid="{ED221CEC-E442-4148-B7CE-4092ADB96690}" name="scenario"/>
    <tableColumn id="2" xr3:uid="{90250FF4-3C0F-DD4B-80F0-A8FD0BCD2194}" name="label"/>
    <tableColumn id="3" xr3:uid="{5F1AC8F1-52D0-844D-89D7-A7B2578CC6BB}" name="temperature_path"/>
    <tableColumn id="4" xr3:uid="{2ED292E5-618A-2C4C-9338-C0BB86EAC9C6}" name="short_description"/>
    <tableColumn id="5" xr3:uid="{246BD1BE-9F3B-AF48-AFFD-4CB1F1F0CBCC}" name="pd_uplift_multiplier_no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752219-26D8-054D-81EE-08E2AD06BBAE}" name="Tableau4" displayName="Tableau4" ref="A1:D8" totalsRowShown="0" headerRowDxfId="8">
  <autoFilter ref="A1:D8" xr:uid="{00000000-0009-0000-0000-000003000000}"/>
  <tableColumns count="4">
    <tableColumn id="1" xr3:uid="{4A8DF7DB-97B7-1743-AC0F-18AB2E3A20B5}" name="country"/>
    <tableColumn id="2" xr3:uid="{04AF2836-5833-3949-B8DF-4D17AB5A8C4D}" name="region"/>
    <tableColumn id="3" xr3:uid="{ACA42DD4-A8FC-8943-BA26-5093FAF6A248}" name="country_risk_factor" dataDxfId="9"/>
    <tableColumn id="4" xr3:uid="{4CC44545-C961-7C40-AEFE-D82FB280B884}" name="comm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19A0A7-B3BB-2943-A348-B420B2148E0D}" name="Tableau5" displayName="Tableau5" ref="A1:H8" totalsRowShown="0" headerRowDxfId="0">
  <autoFilter ref="A1:H8" xr:uid="{00000000-0009-0000-0000-000004000000}"/>
  <tableColumns count="8">
    <tableColumn id="1" xr3:uid="{0E884DFF-E1B6-B443-9AE9-956B07787A71}" name="sector"/>
    <tableColumn id="2" xr3:uid="{2CE1D658-6423-7245-82D9-41E9A596E4E5}" name="pd_uplift_Optimiste" dataDxfId="7"/>
    <tableColumn id="3" xr3:uid="{9C7D9238-D843-0543-A073-BBDA3D81776C}" name="pd_uplift_Neutre" dataDxfId="6"/>
    <tableColumn id="4" xr3:uid="{CDCF659F-9F8F-0345-8851-D65F5BE7660A}" name="pd_uplift_Pessimiste" dataDxfId="5"/>
    <tableColumn id="5" xr3:uid="{3A4D91BB-ACFD-C045-9D2C-25E2305E1611}" name="lgd_uplift_Optimiste" dataDxfId="4"/>
    <tableColumn id="6" xr3:uid="{C4FA8E8B-46A1-6147-93ED-6E9D2670FE76}" name="lgd_uplift_Neutre" dataDxfId="3"/>
    <tableColumn id="7" xr3:uid="{B82D2955-43AE-174D-9390-7CE6B526FAEE}" name="lgd_uplift_Pessimiste" dataDxfId="2"/>
    <tableColumn id="8" xr3:uid="{55F5D65D-8A31-004E-AEDE-45566F733037}" name="not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1.83203125" bestFit="1" customWidth="1"/>
    <col min="2" max="2" width="16" customWidth="1"/>
    <col min="3" max="3" width="14" customWidth="1"/>
    <col min="4" max="4" width="11.1640625" bestFit="1" customWidth="1"/>
    <col min="5" max="5" width="14" customWidth="1"/>
    <col min="6" max="6" width="12.6640625" bestFit="1" customWidth="1"/>
    <col min="7" max="7" width="9.33203125" bestFit="1" customWidth="1"/>
    <col min="8" max="8" width="17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s="2">
        <v>20000000</v>
      </c>
      <c r="F2" s="3">
        <v>0.02</v>
      </c>
      <c r="G2" s="4">
        <v>0.4</v>
      </c>
      <c r="H2" s="5">
        <v>6</v>
      </c>
    </row>
    <row r="3" spans="1:8" x14ac:dyDescent="0.2">
      <c r="A3" t="s">
        <v>12</v>
      </c>
      <c r="B3" t="s">
        <v>9</v>
      </c>
      <c r="C3" t="s">
        <v>10</v>
      </c>
      <c r="D3" t="s">
        <v>11</v>
      </c>
      <c r="E3" s="2">
        <v>55000000</v>
      </c>
      <c r="F3" s="3">
        <v>0.02</v>
      </c>
      <c r="G3" s="4">
        <v>0.42</v>
      </c>
      <c r="H3" s="5">
        <v>4</v>
      </c>
    </row>
    <row r="4" spans="1:8" x14ac:dyDescent="0.2">
      <c r="A4" t="s">
        <v>13</v>
      </c>
      <c r="B4" t="s">
        <v>14</v>
      </c>
      <c r="C4" t="s">
        <v>15</v>
      </c>
      <c r="D4" t="s">
        <v>11</v>
      </c>
      <c r="E4" s="2">
        <v>60000000</v>
      </c>
      <c r="F4" s="3">
        <v>4.4999999999999997E-3</v>
      </c>
      <c r="G4" s="4">
        <v>0.34</v>
      </c>
      <c r="H4" s="5">
        <v>10</v>
      </c>
    </row>
    <row r="5" spans="1:8" x14ac:dyDescent="0.2">
      <c r="A5" t="s">
        <v>16</v>
      </c>
      <c r="B5" t="s">
        <v>9</v>
      </c>
      <c r="C5" t="s">
        <v>17</v>
      </c>
      <c r="D5" t="s">
        <v>18</v>
      </c>
      <c r="E5" s="2">
        <v>15000000</v>
      </c>
      <c r="F5" s="3">
        <v>2.1999999999999999E-2</v>
      </c>
      <c r="G5" s="4">
        <v>0.41</v>
      </c>
      <c r="H5" s="5">
        <v>7</v>
      </c>
    </row>
    <row r="6" spans="1:8" x14ac:dyDescent="0.2">
      <c r="A6" t="s">
        <v>19</v>
      </c>
      <c r="B6" t="s">
        <v>9</v>
      </c>
      <c r="C6" t="s">
        <v>10</v>
      </c>
      <c r="D6" t="s">
        <v>11</v>
      </c>
      <c r="E6" s="2">
        <v>15000000</v>
      </c>
      <c r="F6" s="3">
        <v>0.02</v>
      </c>
      <c r="G6" s="4">
        <v>0.42</v>
      </c>
      <c r="H6" s="5">
        <v>3</v>
      </c>
    </row>
    <row r="7" spans="1:8" x14ac:dyDescent="0.2">
      <c r="A7" t="s">
        <v>20</v>
      </c>
      <c r="B7" t="s">
        <v>21</v>
      </c>
      <c r="C7" t="s">
        <v>10</v>
      </c>
      <c r="D7" t="s">
        <v>11</v>
      </c>
      <c r="E7" s="2">
        <v>35000000</v>
      </c>
      <c r="F7" s="3">
        <v>0.01</v>
      </c>
      <c r="G7" s="4">
        <v>0.43</v>
      </c>
      <c r="H7" s="5">
        <v>4</v>
      </c>
    </row>
    <row r="8" spans="1:8" x14ac:dyDescent="0.2">
      <c r="A8" t="s">
        <v>22</v>
      </c>
      <c r="B8" t="s">
        <v>23</v>
      </c>
      <c r="C8" t="s">
        <v>15</v>
      </c>
      <c r="D8" t="s">
        <v>11</v>
      </c>
      <c r="E8" s="2">
        <v>20000000</v>
      </c>
      <c r="F8" s="3">
        <v>1.35E-2</v>
      </c>
      <c r="G8" s="4">
        <v>0.42</v>
      </c>
      <c r="H8" s="5">
        <v>3</v>
      </c>
    </row>
    <row r="9" spans="1:8" x14ac:dyDescent="0.2">
      <c r="A9" t="s">
        <v>24</v>
      </c>
      <c r="B9" t="s">
        <v>25</v>
      </c>
      <c r="C9" t="s">
        <v>26</v>
      </c>
      <c r="D9" t="s">
        <v>27</v>
      </c>
      <c r="E9" s="2">
        <v>15000000</v>
      </c>
      <c r="F9" s="3">
        <v>1.6799999999999999E-2</v>
      </c>
      <c r="G9" s="4">
        <v>0.34</v>
      </c>
      <c r="H9" s="5">
        <v>10</v>
      </c>
    </row>
    <row r="10" spans="1:8" x14ac:dyDescent="0.2">
      <c r="A10" t="s">
        <v>28</v>
      </c>
      <c r="B10" t="s">
        <v>29</v>
      </c>
      <c r="C10" t="s">
        <v>15</v>
      </c>
      <c r="D10" t="s">
        <v>11</v>
      </c>
      <c r="E10" s="2">
        <v>55000000</v>
      </c>
      <c r="F10" s="3">
        <v>2.2499999999999999E-2</v>
      </c>
      <c r="G10" s="4">
        <v>0.47</v>
      </c>
      <c r="H10" s="5">
        <v>3</v>
      </c>
    </row>
    <row r="11" spans="1:8" x14ac:dyDescent="0.2">
      <c r="A11" t="s">
        <v>30</v>
      </c>
      <c r="B11" t="s">
        <v>29</v>
      </c>
      <c r="C11" t="s">
        <v>31</v>
      </c>
      <c r="D11" t="s">
        <v>18</v>
      </c>
      <c r="E11" s="2">
        <v>60000000</v>
      </c>
      <c r="F11" s="3">
        <v>2.75E-2</v>
      </c>
      <c r="G11" s="4">
        <v>0.46</v>
      </c>
      <c r="H11" s="5">
        <v>6</v>
      </c>
    </row>
    <row r="12" spans="1:8" x14ac:dyDescent="0.2">
      <c r="A12" t="s">
        <v>32</v>
      </c>
      <c r="B12" t="s">
        <v>21</v>
      </c>
      <c r="C12" t="s">
        <v>10</v>
      </c>
      <c r="D12" t="s">
        <v>11</v>
      </c>
      <c r="E12" s="2">
        <v>20000000</v>
      </c>
      <c r="F12" s="3">
        <v>0.01</v>
      </c>
      <c r="G12" s="4">
        <v>0.39</v>
      </c>
      <c r="H12" s="5">
        <v>5</v>
      </c>
    </row>
    <row r="13" spans="1:8" x14ac:dyDescent="0.2">
      <c r="A13" t="s">
        <v>33</v>
      </c>
      <c r="B13" t="s">
        <v>21</v>
      </c>
      <c r="C13" t="s">
        <v>10</v>
      </c>
      <c r="D13" t="s">
        <v>11</v>
      </c>
      <c r="E13" s="2">
        <v>15000000</v>
      </c>
      <c r="F13" s="3">
        <v>0.01</v>
      </c>
      <c r="G13" s="4">
        <v>0.39</v>
      </c>
      <c r="H13" s="5">
        <v>4</v>
      </c>
    </row>
    <row r="14" spans="1:8" x14ac:dyDescent="0.2">
      <c r="A14" t="s">
        <v>34</v>
      </c>
      <c r="B14" t="s">
        <v>25</v>
      </c>
      <c r="C14" t="s">
        <v>26</v>
      </c>
      <c r="D14" t="s">
        <v>27</v>
      </c>
      <c r="E14" s="2">
        <v>15000000</v>
      </c>
      <c r="F14" s="3">
        <v>1.6799999999999999E-2</v>
      </c>
      <c r="G14" s="4">
        <v>0.35</v>
      </c>
      <c r="H14" s="5">
        <v>10</v>
      </c>
    </row>
    <row r="15" spans="1:8" x14ac:dyDescent="0.2">
      <c r="A15" t="s">
        <v>35</v>
      </c>
      <c r="B15" t="s">
        <v>21</v>
      </c>
      <c r="C15" t="s">
        <v>31</v>
      </c>
      <c r="D15" t="s">
        <v>18</v>
      </c>
      <c r="E15" s="2">
        <v>10000000</v>
      </c>
      <c r="F15" s="3">
        <v>1.0999999999999999E-2</v>
      </c>
      <c r="G15" s="4">
        <v>0.38</v>
      </c>
      <c r="H15" s="5">
        <v>3</v>
      </c>
    </row>
    <row r="16" spans="1:8" x14ac:dyDescent="0.2">
      <c r="A16" t="s">
        <v>36</v>
      </c>
      <c r="B16" t="s">
        <v>29</v>
      </c>
      <c r="C16" t="s">
        <v>15</v>
      </c>
      <c r="D16" t="s">
        <v>11</v>
      </c>
      <c r="E16" s="2">
        <v>20000000</v>
      </c>
      <c r="F16" s="3">
        <v>2.2499999999999999E-2</v>
      </c>
      <c r="G16" s="4">
        <v>0.44</v>
      </c>
      <c r="H16" s="5">
        <v>8</v>
      </c>
    </row>
    <row r="17" spans="1:8" x14ac:dyDescent="0.2">
      <c r="A17" t="s">
        <v>37</v>
      </c>
      <c r="B17" t="s">
        <v>9</v>
      </c>
      <c r="C17" t="s">
        <v>38</v>
      </c>
      <c r="D17" t="s">
        <v>11</v>
      </c>
      <c r="E17" s="2">
        <v>30000000</v>
      </c>
      <c r="F17" s="3">
        <v>1.7999999999999999E-2</v>
      </c>
      <c r="G17" s="4">
        <v>0.39</v>
      </c>
      <c r="H17" s="5">
        <v>7</v>
      </c>
    </row>
    <row r="18" spans="1:8" x14ac:dyDescent="0.2">
      <c r="A18" t="s">
        <v>39</v>
      </c>
      <c r="B18" t="s">
        <v>9</v>
      </c>
      <c r="C18" t="s">
        <v>31</v>
      </c>
      <c r="D18" t="s">
        <v>18</v>
      </c>
      <c r="E18" s="2">
        <v>25000000</v>
      </c>
      <c r="F18" s="3">
        <v>2.1999999999999999E-2</v>
      </c>
      <c r="G18" s="4">
        <v>0.39</v>
      </c>
      <c r="H18" s="5">
        <v>4</v>
      </c>
    </row>
    <row r="19" spans="1:8" x14ac:dyDescent="0.2">
      <c r="A19" t="s">
        <v>40</v>
      </c>
      <c r="B19" t="s">
        <v>25</v>
      </c>
      <c r="C19" t="s">
        <v>15</v>
      </c>
      <c r="D19" t="s">
        <v>11</v>
      </c>
      <c r="E19" s="2">
        <v>10000000</v>
      </c>
      <c r="F19" s="3">
        <v>1.0800000000000001E-2</v>
      </c>
      <c r="G19" s="4">
        <v>0.37</v>
      </c>
      <c r="H19" s="5">
        <v>9</v>
      </c>
    </row>
    <row r="20" spans="1:8" x14ac:dyDescent="0.2">
      <c r="A20" t="s">
        <v>41</v>
      </c>
      <c r="B20" t="s">
        <v>21</v>
      </c>
      <c r="C20" t="s">
        <v>15</v>
      </c>
      <c r="D20" t="s">
        <v>11</v>
      </c>
      <c r="E20" s="2">
        <v>35000000</v>
      </c>
      <c r="F20" s="3">
        <v>8.9999999999999993E-3</v>
      </c>
      <c r="G20" s="4">
        <v>0.41</v>
      </c>
      <c r="H20" s="5">
        <v>5</v>
      </c>
    </row>
    <row r="21" spans="1:8" x14ac:dyDescent="0.2">
      <c r="A21" t="s">
        <v>42</v>
      </c>
      <c r="B21" t="s">
        <v>25</v>
      </c>
      <c r="C21" t="s">
        <v>10</v>
      </c>
      <c r="D21" t="s">
        <v>11</v>
      </c>
      <c r="E21" s="2">
        <v>35000000</v>
      </c>
      <c r="F21" s="3">
        <v>1.2E-2</v>
      </c>
      <c r="G21" s="4">
        <v>0.39</v>
      </c>
      <c r="H21" s="5">
        <v>10</v>
      </c>
    </row>
    <row r="22" spans="1:8" x14ac:dyDescent="0.2">
      <c r="A22" t="s">
        <v>43</v>
      </c>
      <c r="B22" t="s">
        <v>25</v>
      </c>
      <c r="C22" t="s">
        <v>10</v>
      </c>
      <c r="D22" t="s">
        <v>11</v>
      </c>
      <c r="E22" s="2">
        <v>60000000</v>
      </c>
      <c r="F22" s="3">
        <v>1.2E-2</v>
      </c>
      <c r="G22" s="4">
        <v>0.34</v>
      </c>
      <c r="H22" s="5">
        <v>8</v>
      </c>
    </row>
    <row r="23" spans="1:8" x14ac:dyDescent="0.2">
      <c r="A23" t="s">
        <v>44</v>
      </c>
      <c r="B23" t="s">
        <v>23</v>
      </c>
      <c r="C23" t="s">
        <v>17</v>
      </c>
      <c r="D23" t="s">
        <v>18</v>
      </c>
      <c r="E23" s="2">
        <v>20000000</v>
      </c>
      <c r="F23" s="3">
        <v>1.6500000000000001E-2</v>
      </c>
      <c r="G23" s="4">
        <v>0.38</v>
      </c>
      <c r="H23" s="5">
        <v>7</v>
      </c>
    </row>
    <row r="24" spans="1:8" x14ac:dyDescent="0.2">
      <c r="A24" t="s">
        <v>45</v>
      </c>
      <c r="B24" t="s">
        <v>23</v>
      </c>
      <c r="C24" t="s">
        <v>10</v>
      </c>
      <c r="D24" t="s">
        <v>11</v>
      </c>
      <c r="E24" s="2">
        <v>20000000</v>
      </c>
      <c r="F24" s="3">
        <v>1.4999999999999999E-2</v>
      </c>
      <c r="G24" s="4">
        <v>0.39</v>
      </c>
      <c r="H24" s="5">
        <v>6</v>
      </c>
    </row>
    <row r="25" spans="1:8" x14ac:dyDescent="0.2">
      <c r="A25" t="s">
        <v>46</v>
      </c>
      <c r="B25" t="s">
        <v>47</v>
      </c>
      <c r="C25" t="s">
        <v>38</v>
      </c>
      <c r="D25" t="s">
        <v>11</v>
      </c>
      <c r="E25" s="2">
        <v>60000000</v>
      </c>
      <c r="F25" s="3">
        <v>1.7999999999999999E-2</v>
      </c>
      <c r="G25" s="4">
        <v>0.43</v>
      </c>
      <c r="H25" s="5">
        <v>4</v>
      </c>
    </row>
    <row r="26" spans="1:8" x14ac:dyDescent="0.2">
      <c r="A26" t="s">
        <v>48</v>
      </c>
      <c r="B26" t="s">
        <v>21</v>
      </c>
      <c r="C26" t="s">
        <v>49</v>
      </c>
      <c r="D26" t="s">
        <v>27</v>
      </c>
      <c r="E26" s="2">
        <v>20000000</v>
      </c>
      <c r="F26" s="3">
        <v>1.2999999999999999E-2</v>
      </c>
      <c r="G26" s="4">
        <v>0.39</v>
      </c>
      <c r="H26" s="5">
        <v>5</v>
      </c>
    </row>
    <row r="27" spans="1:8" x14ac:dyDescent="0.2">
      <c r="A27" t="s">
        <v>50</v>
      </c>
      <c r="B27" t="s">
        <v>9</v>
      </c>
      <c r="C27" t="s">
        <v>49</v>
      </c>
      <c r="D27" t="s">
        <v>27</v>
      </c>
      <c r="E27" s="2">
        <v>10000000</v>
      </c>
      <c r="F27" s="3">
        <v>2.5999999999999999E-2</v>
      </c>
      <c r="G27" s="4">
        <v>0.4</v>
      </c>
      <c r="H27" s="5">
        <v>5</v>
      </c>
    </row>
    <row r="28" spans="1:8" x14ac:dyDescent="0.2">
      <c r="A28" t="s">
        <v>51</v>
      </c>
      <c r="B28" t="s">
        <v>29</v>
      </c>
      <c r="C28" t="s">
        <v>31</v>
      </c>
      <c r="D28" t="s">
        <v>18</v>
      </c>
      <c r="E28" s="2">
        <v>10000000</v>
      </c>
      <c r="F28" s="3">
        <v>2.75E-2</v>
      </c>
      <c r="G28" s="4">
        <v>0.43</v>
      </c>
      <c r="H28" s="5">
        <v>3</v>
      </c>
    </row>
    <row r="29" spans="1:8" x14ac:dyDescent="0.2">
      <c r="A29" t="s">
        <v>52</v>
      </c>
      <c r="B29" t="s">
        <v>21</v>
      </c>
      <c r="C29" t="s">
        <v>31</v>
      </c>
      <c r="D29" t="s">
        <v>18</v>
      </c>
      <c r="E29" s="2">
        <v>40000000</v>
      </c>
      <c r="F29" s="3">
        <v>1.0999999999999999E-2</v>
      </c>
      <c r="G29" s="4">
        <v>0.4</v>
      </c>
      <c r="H29" s="5">
        <v>7</v>
      </c>
    </row>
    <row r="30" spans="1:8" x14ac:dyDescent="0.2">
      <c r="A30" t="s">
        <v>53</v>
      </c>
      <c r="B30" t="s">
        <v>23</v>
      </c>
      <c r="C30" t="s">
        <v>38</v>
      </c>
      <c r="D30" t="s">
        <v>11</v>
      </c>
      <c r="E30" s="2">
        <v>20000000</v>
      </c>
      <c r="F30" s="3">
        <v>1.35E-2</v>
      </c>
      <c r="G30" s="4">
        <v>0.41</v>
      </c>
      <c r="H30" s="5">
        <v>8</v>
      </c>
    </row>
    <row r="31" spans="1:8" x14ac:dyDescent="0.2">
      <c r="A31" t="s">
        <v>54</v>
      </c>
      <c r="B31" t="s">
        <v>25</v>
      </c>
      <c r="C31" t="s">
        <v>26</v>
      </c>
      <c r="D31" t="s">
        <v>27</v>
      </c>
      <c r="E31" s="2">
        <v>45000000</v>
      </c>
      <c r="F31" s="3">
        <v>1.6799999999999999E-2</v>
      </c>
      <c r="G31" s="4">
        <v>0.33</v>
      </c>
      <c r="H31" s="5">
        <v>7</v>
      </c>
    </row>
    <row r="32" spans="1:8" x14ac:dyDescent="0.2">
      <c r="A32" t="s">
        <v>55</v>
      </c>
      <c r="B32" t="s">
        <v>23</v>
      </c>
      <c r="C32" t="s">
        <v>17</v>
      </c>
      <c r="D32" t="s">
        <v>18</v>
      </c>
      <c r="E32" s="2">
        <v>60000000</v>
      </c>
      <c r="F32" s="3">
        <v>1.6500000000000001E-2</v>
      </c>
      <c r="G32" s="4">
        <v>0.41</v>
      </c>
      <c r="H32" s="5">
        <v>3</v>
      </c>
    </row>
    <row r="33" spans="1:8" x14ac:dyDescent="0.2">
      <c r="A33" t="s">
        <v>56</v>
      </c>
      <c r="B33" t="s">
        <v>29</v>
      </c>
      <c r="C33" t="s">
        <v>49</v>
      </c>
      <c r="D33" t="s">
        <v>27</v>
      </c>
      <c r="E33" s="2">
        <v>25000000</v>
      </c>
      <c r="F33" s="3">
        <v>3.2500000000000001E-2</v>
      </c>
      <c r="G33" s="4">
        <v>0.42</v>
      </c>
      <c r="H33" s="5">
        <v>6</v>
      </c>
    </row>
    <row r="34" spans="1:8" x14ac:dyDescent="0.2">
      <c r="A34" t="s">
        <v>57</v>
      </c>
      <c r="B34" t="s">
        <v>21</v>
      </c>
      <c r="C34" t="s">
        <v>31</v>
      </c>
      <c r="D34" t="s">
        <v>18</v>
      </c>
      <c r="E34" s="2">
        <v>15000000</v>
      </c>
      <c r="F34" s="3">
        <v>1.0999999999999999E-2</v>
      </c>
      <c r="G34" s="4">
        <v>0.41</v>
      </c>
      <c r="H34" s="5">
        <v>4</v>
      </c>
    </row>
    <row r="35" spans="1:8" x14ac:dyDescent="0.2">
      <c r="A35" t="s">
        <v>58</v>
      </c>
      <c r="B35" t="s">
        <v>47</v>
      </c>
      <c r="C35" t="s">
        <v>31</v>
      </c>
      <c r="D35" t="s">
        <v>18</v>
      </c>
      <c r="E35" s="2">
        <v>10000000</v>
      </c>
      <c r="F35" s="3">
        <v>2.1999999999999999E-2</v>
      </c>
      <c r="G35" s="4">
        <v>0.45</v>
      </c>
      <c r="H35" s="5">
        <v>3</v>
      </c>
    </row>
    <row r="36" spans="1:8" x14ac:dyDescent="0.2">
      <c r="A36" t="s">
        <v>59</v>
      </c>
      <c r="B36" t="s">
        <v>25</v>
      </c>
      <c r="C36" t="s">
        <v>15</v>
      </c>
      <c r="D36" t="s">
        <v>11</v>
      </c>
      <c r="E36" s="2">
        <v>20000000</v>
      </c>
      <c r="F36" s="3">
        <v>1.0800000000000001E-2</v>
      </c>
      <c r="G36" s="4">
        <v>0.34</v>
      </c>
      <c r="H36" s="5">
        <v>7</v>
      </c>
    </row>
    <row r="38" spans="1:8" x14ac:dyDescent="0.2">
      <c r="D38" s="6"/>
      <c r="E38" s="7" t="str">
        <f ca="1">SUM(E2:E38)</f>
        <v/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1" topLeftCell="A2" activePane="bottomLeft" state="frozen"/>
      <selection pane="bottomLeft" sqref="A1:I8"/>
    </sheetView>
  </sheetViews>
  <sheetFormatPr baseColWidth="10" defaultColWidth="8.83203125" defaultRowHeight="15" x14ac:dyDescent="0.2"/>
  <cols>
    <col min="1" max="1" width="16" customWidth="1"/>
    <col min="2" max="2" width="12.6640625" bestFit="1" customWidth="1"/>
    <col min="3" max="3" width="13.1640625" bestFit="1" customWidth="1"/>
    <col min="4" max="4" width="13.33203125" bestFit="1" customWidth="1"/>
    <col min="5" max="5" width="16.6640625" bestFit="1" customWidth="1"/>
    <col min="6" max="6" width="16.83203125" bestFit="1" customWidth="1"/>
    <col min="7" max="7" width="22.5" bestFit="1" customWidth="1"/>
    <col min="8" max="8" width="21" bestFit="1" customWidth="1"/>
    <col min="9" max="9" width="19.1640625" bestFit="1" customWidth="1"/>
  </cols>
  <sheetData>
    <row r="1" spans="1:9" x14ac:dyDescent="0.2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2">
      <c r="A2" t="s">
        <v>21</v>
      </c>
      <c r="B2" s="3">
        <v>0.01</v>
      </c>
      <c r="C2" s="4">
        <v>0.38</v>
      </c>
      <c r="D2" s="4">
        <v>0.44</v>
      </c>
      <c r="E2">
        <v>3</v>
      </c>
      <c r="F2">
        <v>8</v>
      </c>
      <c r="G2" t="s">
        <v>68</v>
      </c>
      <c r="H2" t="s">
        <v>69</v>
      </c>
      <c r="I2" t="s">
        <v>68</v>
      </c>
    </row>
    <row r="3" spans="1:9" x14ac:dyDescent="0.2">
      <c r="A3" t="s">
        <v>25</v>
      </c>
      <c r="B3" s="3">
        <v>1.2E-2</v>
      </c>
      <c r="C3" s="4">
        <v>0.33</v>
      </c>
      <c r="D3" s="4">
        <v>0.4</v>
      </c>
      <c r="E3">
        <v>6</v>
      </c>
      <c r="F3">
        <v>10</v>
      </c>
      <c r="G3" t="s">
        <v>68</v>
      </c>
      <c r="H3" t="s">
        <v>70</v>
      </c>
      <c r="I3" t="s">
        <v>68</v>
      </c>
    </row>
    <row r="4" spans="1:9" x14ac:dyDescent="0.2">
      <c r="A4" t="s">
        <v>9</v>
      </c>
      <c r="B4" s="3">
        <v>0.02</v>
      </c>
      <c r="C4" s="4">
        <v>0.38</v>
      </c>
      <c r="D4" s="4">
        <v>0.45</v>
      </c>
      <c r="E4">
        <v>3</v>
      </c>
      <c r="F4">
        <v>7</v>
      </c>
      <c r="G4" t="s">
        <v>68</v>
      </c>
      <c r="H4" t="s">
        <v>70</v>
      </c>
      <c r="I4" t="s">
        <v>68</v>
      </c>
    </row>
    <row r="5" spans="1:9" x14ac:dyDescent="0.2">
      <c r="A5" t="s">
        <v>23</v>
      </c>
      <c r="B5" s="3">
        <v>1.4999999999999999E-2</v>
      </c>
      <c r="C5" s="4">
        <v>0.38</v>
      </c>
      <c r="D5" s="4">
        <v>0.45</v>
      </c>
      <c r="E5">
        <v>3</v>
      </c>
      <c r="F5">
        <v>8</v>
      </c>
      <c r="G5" t="s">
        <v>71</v>
      </c>
      <c r="H5" t="s">
        <v>69</v>
      </c>
      <c r="I5" t="s">
        <v>71</v>
      </c>
    </row>
    <row r="6" spans="1:9" x14ac:dyDescent="0.2">
      <c r="A6" t="s">
        <v>29</v>
      </c>
      <c r="B6" s="3">
        <v>2.5000000000000001E-2</v>
      </c>
      <c r="C6" s="4">
        <v>0.4</v>
      </c>
      <c r="D6" s="4">
        <v>0.47</v>
      </c>
      <c r="E6">
        <v>3</v>
      </c>
      <c r="F6">
        <v>8</v>
      </c>
      <c r="G6" t="s">
        <v>72</v>
      </c>
      <c r="H6" t="s">
        <v>73</v>
      </c>
      <c r="I6" t="s">
        <v>72</v>
      </c>
    </row>
    <row r="7" spans="1:9" x14ac:dyDescent="0.2">
      <c r="A7" t="s">
        <v>14</v>
      </c>
      <c r="B7" s="3">
        <v>5.0000000000000001E-3</v>
      </c>
      <c r="C7" s="4">
        <v>0.3</v>
      </c>
      <c r="D7" s="4">
        <v>0.4</v>
      </c>
      <c r="E7">
        <v>5</v>
      </c>
      <c r="F7">
        <v>10</v>
      </c>
      <c r="G7" t="s">
        <v>68</v>
      </c>
      <c r="H7" t="s">
        <v>73</v>
      </c>
      <c r="I7" t="s">
        <v>68</v>
      </c>
    </row>
    <row r="8" spans="1:9" x14ac:dyDescent="0.2">
      <c r="A8" t="s">
        <v>47</v>
      </c>
      <c r="B8" s="3">
        <v>0.02</v>
      </c>
      <c r="C8" s="4">
        <v>0.4</v>
      </c>
      <c r="D8" s="4">
        <v>0.48</v>
      </c>
      <c r="E8">
        <v>3</v>
      </c>
      <c r="F8">
        <v>7</v>
      </c>
      <c r="G8" t="s">
        <v>73</v>
      </c>
      <c r="H8" t="s">
        <v>70</v>
      </c>
      <c r="I8" t="s">
        <v>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 sqref="A1:E4"/>
    </sheetView>
  </sheetViews>
  <sheetFormatPr baseColWidth="10" defaultColWidth="8.83203125" defaultRowHeight="15" x14ac:dyDescent="0.2"/>
  <cols>
    <col min="1" max="1" width="12.6640625" bestFit="1" customWidth="1"/>
    <col min="2" max="2" width="20" customWidth="1"/>
    <col min="3" max="3" width="20.5" bestFit="1" customWidth="1"/>
    <col min="4" max="4" width="48" customWidth="1"/>
    <col min="5" max="5" width="42.1640625" bestFit="1" customWidth="1"/>
  </cols>
  <sheetData>
    <row r="1" spans="1:5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2">
      <c r="A2" t="s">
        <v>79</v>
      </c>
      <c r="B2" t="s">
        <v>80</v>
      </c>
      <c r="C2" t="s">
        <v>81</v>
      </c>
      <c r="D2" t="s">
        <v>82</v>
      </c>
      <c r="E2" t="s">
        <v>83</v>
      </c>
    </row>
    <row r="3" spans="1:5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5" x14ac:dyDescent="0.2">
      <c r="A4" t="s">
        <v>89</v>
      </c>
      <c r="B4" t="s">
        <v>90</v>
      </c>
      <c r="C4" t="s">
        <v>91</v>
      </c>
      <c r="D4" t="s">
        <v>92</v>
      </c>
      <c r="E4" t="s">
        <v>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 sqref="A1:D8"/>
    </sheetView>
  </sheetViews>
  <sheetFormatPr baseColWidth="10" defaultColWidth="8.83203125" defaultRowHeight="15" x14ac:dyDescent="0.2"/>
  <cols>
    <col min="1" max="1" width="16" customWidth="1"/>
    <col min="2" max="2" width="11.1640625" bestFit="1" customWidth="1"/>
    <col min="3" max="3" width="18.33203125" customWidth="1"/>
    <col min="4" max="4" width="60" customWidth="1"/>
  </cols>
  <sheetData>
    <row r="1" spans="1:4" x14ac:dyDescent="0.2">
      <c r="A1" s="1" t="s">
        <v>2</v>
      </c>
      <c r="B1" s="1" t="s">
        <v>3</v>
      </c>
      <c r="C1" s="1" t="s">
        <v>94</v>
      </c>
      <c r="D1" s="1" t="s">
        <v>95</v>
      </c>
    </row>
    <row r="2" spans="1:4" x14ac:dyDescent="0.2">
      <c r="A2" t="s">
        <v>10</v>
      </c>
      <c r="B2" t="s">
        <v>11</v>
      </c>
      <c r="C2" s="4">
        <v>1</v>
      </c>
      <c r="D2" t="s">
        <v>96</v>
      </c>
    </row>
    <row r="3" spans="1:4" x14ac:dyDescent="0.2">
      <c r="A3" t="s">
        <v>15</v>
      </c>
      <c r="B3" t="s">
        <v>11</v>
      </c>
      <c r="C3" s="4">
        <v>0.9</v>
      </c>
      <c r="D3" t="s">
        <v>96</v>
      </c>
    </row>
    <row r="4" spans="1:4" x14ac:dyDescent="0.2">
      <c r="A4" t="s">
        <v>31</v>
      </c>
      <c r="B4" t="s">
        <v>18</v>
      </c>
      <c r="C4" s="4">
        <v>1.1000000000000001</v>
      </c>
      <c r="D4" t="s">
        <v>96</v>
      </c>
    </row>
    <row r="5" spans="1:4" x14ac:dyDescent="0.2">
      <c r="A5" t="s">
        <v>17</v>
      </c>
      <c r="B5" t="s">
        <v>18</v>
      </c>
      <c r="C5" s="4">
        <v>1.1000000000000001</v>
      </c>
      <c r="D5" t="s">
        <v>96</v>
      </c>
    </row>
    <row r="6" spans="1:4" x14ac:dyDescent="0.2">
      <c r="A6" t="s">
        <v>38</v>
      </c>
      <c r="B6" t="s">
        <v>11</v>
      </c>
      <c r="C6" s="4">
        <v>0.9</v>
      </c>
      <c r="D6" t="s">
        <v>96</v>
      </c>
    </row>
    <row r="7" spans="1:4" x14ac:dyDescent="0.2">
      <c r="A7" t="s">
        <v>49</v>
      </c>
      <c r="B7" t="s">
        <v>27</v>
      </c>
      <c r="C7" s="4">
        <v>1.3</v>
      </c>
      <c r="D7" t="s">
        <v>96</v>
      </c>
    </row>
    <row r="8" spans="1:4" x14ac:dyDescent="0.2">
      <c r="A8" t="s">
        <v>26</v>
      </c>
      <c r="B8" t="s">
        <v>27</v>
      </c>
      <c r="C8" s="4">
        <v>1.4</v>
      </c>
      <c r="D8" t="s">
        <v>96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10" defaultColWidth="8.83203125" defaultRowHeight="15" x14ac:dyDescent="0.2"/>
  <cols>
    <col min="1" max="1" width="16" customWidth="1"/>
    <col min="2" max="2" width="21.83203125" bestFit="1" customWidth="1"/>
    <col min="3" max="3" width="19.5" bestFit="1" customWidth="1"/>
    <col min="4" max="4" width="22.33203125" bestFit="1" customWidth="1"/>
    <col min="5" max="5" width="20" customWidth="1"/>
    <col min="6" max="6" width="19.83203125" bestFit="1" customWidth="1"/>
    <col min="7" max="7" width="22.6640625" bestFit="1" customWidth="1"/>
    <col min="8" max="8" width="46" customWidth="1"/>
  </cols>
  <sheetData>
    <row r="1" spans="1:8" x14ac:dyDescent="0.2">
      <c r="A1" s="1" t="s">
        <v>1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 ht="16" x14ac:dyDescent="0.2">
      <c r="A2" t="s">
        <v>21</v>
      </c>
      <c r="B2" s="3">
        <v>0.05</v>
      </c>
      <c r="C2" s="3">
        <v>0.15</v>
      </c>
      <c r="D2" s="3">
        <v>0.3</v>
      </c>
      <c r="E2" s="3">
        <v>0</v>
      </c>
      <c r="F2" s="3">
        <v>0.02</v>
      </c>
      <c r="G2" s="3">
        <v>0.06</v>
      </c>
      <c r="H2" s="8" t="s">
        <v>104</v>
      </c>
    </row>
    <row r="3" spans="1:8" ht="16" x14ac:dyDescent="0.2">
      <c r="A3" t="s">
        <v>25</v>
      </c>
      <c r="B3" s="3">
        <v>0.04</v>
      </c>
      <c r="C3" s="3">
        <v>0.12</v>
      </c>
      <c r="D3" s="3">
        <v>0.28000000000000003</v>
      </c>
      <c r="E3" s="3">
        <v>0</v>
      </c>
      <c r="F3" s="3">
        <v>0.06</v>
      </c>
      <c r="G3" s="3">
        <v>0.15</v>
      </c>
      <c r="H3" s="8" t="s">
        <v>105</v>
      </c>
    </row>
    <row r="4" spans="1:8" ht="16" x14ac:dyDescent="0.2">
      <c r="A4" t="s">
        <v>9</v>
      </c>
      <c r="B4" s="3">
        <v>0.06</v>
      </c>
      <c r="C4" s="3">
        <v>0.16</v>
      </c>
      <c r="D4" s="3">
        <v>0.32</v>
      </c>
      <c r="E4" s="3">
        <v>0</v>
      </c>
      <c r="F4" s="3">
        <v>0.03</v>
      </c>
      <c r="G4" s="3">
        <v>7.0000000000000007E-2</v>
      </c>
      <c r="H4" s="8" t="s">
        <v>106</v>
      </c>
    </row>
    <row r="5" spans="1:8" ht="16" x14ac:dyDescent="0.2">
      <c r="A5" t="s">
        <v>23</v>
      </c>
      <c r="B5" s="3">
        <v>0.06</v>
      </c>
      <c r="C5" s="3">
        <v>0.18</v>
      </c>
      <c r="D5" s="3">
        <v>0.35</v>
      </c>
      <c r="E5" s="3">
        <v>0</v>
      </c>
      <c r="F5" s="3">
        <v>0.02</v>
      </c>
      <c r="G5" s="3">
        <v>0.06</v>
      </c>
      <c r="H5" s="8" t="s">
        <v>107</v>
      </c>
    </row>
    <row r="6" spans="1:8" ht="16" x14ac:dyDescent="0.2">
      <c r="A6" t="s">
        <v>29</v>
      </c>
      <c r="B6" s="3">
        <v>0.12</v>
      </c>
      <c r="C6" s="3">
        <v>0.35</v>
      </c>
      <c r="D6" s="3">
        <v>0.55000000000000004</v>
      </c>
      <c r="E6" s="3">
        <v>0</v>
      </c>
      <c r="F6" s="3">
        <v>0.03</v>
      </c>
      <c r="G6" s="3">
        <v>0.08</v>
      </c>
      <c r="H6" s="8" t="s">
        <v>108</v>
      </c>
    </row>
    <row r="7" spans="1:8" ht="16" x14ac:dyDescent="0.2">
      <c r="A7" t="s">
        <v>14</v>
      </c>
      <c r="B7" s="3">
        <v>0.03</v>
      </c>
      <c r="C7" s="3">
        <v>0.1</v>
      </c>
      <c r="D7" s="3">
        <v>0.22</v>
      </c>
      <c r="E7" s="3">
        <v>0</v>
      </c>
      <c r="F7" s="3">
        <v>0.02</v>
      </c>
      <c r="G7" s="3">
        <v>0.05</v>
      </c>
      <c r="H7" s="8" t="s">
        <v>109</v>
      </c>
    </row>
    <row r="8" spans="1:8" ht="16" x14ac:dyDescent="0.2">
      <c r="A8" t="s">
        <v>47</v>
      </c>
      <c r="B8" s="3">
        <v>0.1</v>
      </c>
      <c r="C8" s="3">
        <v>0.25</v>
      </c>
      <c r="D8" s="3">
        <v>0.5</v>
      </c>
      <c r="E8" s="3">
        <v>0</v>
      </c>
      <c r="F8" s="3">
        <v>0.05</v>
      </c>
      <c r="G8" s="3">
        <v>0.12</v>
      </c>
      <c r="H8" s="8" t="s">
        <v>110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Portfolio</vt:lpstr>
      <vt:lpstr>Sectors</vt:lpstr>
      <vt:lpstr>Scenarios</vt:lpstr>
      <vt:lpstr>Countries</vt:lpstr>
      <vt:lpstr>Scenario_Uplifts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JARRY Axel</cp:lastModifiedBy>
  <dcterms:created xsi:type="dcterms:W3CDTF">2026-01-22T15:12:59Z</dcterms:created>
  <dcterms:modified xsi:type="dcterms:W3CDTF">2026-01-22T15:55:56Z</dcterms:modified>
</cp:coreProperties>
</file>